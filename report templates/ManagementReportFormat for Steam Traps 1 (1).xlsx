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29" documentId="11_E53541434110960F2C51014BF2F150DC109F4C00" xr6:coauthVersionLast="47" xr6:coauthVersionMax="47" xr10:uidLastSave="{74C333E5-D39C-482E-BC1B-F623D64B8057}"/>
  <bookViews>
    <workbookView xWindow="0" yWindow="0" windowWidth="0" windowHeight="0" firstSheet="2" xr2:uid="{00000000-000D-0000-FFFF-FFFF00000000}"/>
  </bookViews>
  <sheets>
    <sheet name="SteamtrapStatusOverview-Refiner" sheetId="1" r:id="rId1"/>
    <sheet name="SteamtrapStatusOverview-petchem" sheetId="2" r:id="rId2"/>
    <sheet name="Refinery" sheetId="3" r:id="rId3"/>
    <sheet name="Petchem" sheetId="4" r:id="rId4"/>
    <sheet name="Corrective Action 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E3" i="3"/>
  <c r="G17" i="3"/>
  <c r="G16" i="3"/>
</calcChain>
</file>

<file path=xl/sharedStrings.xml><?xml version="1.0" encoding="utf-8"?>
<sst xmlns="http://schemas.openxmlformats.org/spreadsheetml/2006/main" count="239" uniqueCount="127">
  <si>
    <t>Report Name</t>
  </si>
  <si>
    <t>Steam Trap Monitoring System report - Refinery FCCU</t>
  </si>
  <si>
    <t>File Name &amp; Email Subject Name to be as per Report Name</t>
  </si>
  <si>
    <t>Report Start Date</t>
  </si>
  <si>
    <t>Report End Date</t>
  </si>
  <si>
    <t>Analysis Duration in Hrs</t>
  </si>
  <si>
    <t>Report Generated At</t>
  </si>
  <si>
    <t>July 08, 2026 (Wed) at 08:31:15</t>
  </si>
  <si>
    <t>Report Generated By</t>
  </si>
  <si>
    <t>Sneh Lalka</t>
  </si>
  <si>
    <t>Total Steam traps</t>
  </si>
  <si>
    <t>KPI</t>
  </si>
  <si>
    <t>Value</t>
  </si>
  <si>
    <t>MTD</t>
  </si>
  <si>
    <t>YTD (current FY)</t>
  </si>
  <si>
    <t>Overall Trap Health</t>
  </si>
  <si>
    <t>This will not make sense</t>
  </si>
  <si>
    <t>formula(Normal/total trap count)</t>
  </si>
  <si>
    <t>Cost of Steam (Rs)</t>
  </si>
  <si>
    <t>Steam Loss (MT)</t>
  </si>
  <si>
    <t>Sushant</t>
  </si>
  <si>
    <t xml:space="preserve">Need Sensor And Formula for calucating </t>
  </si>
  <si>
    <t>Loss (INR)</t>
  </si>
  <si>
    <t>Savings (MT)</t>
  </si>
  <si>
    <t>Savings (INR)</t>
  </si>
  <si>
    <t>unit vs trap status (at report gen time, 2026-07-07 23:59:00)</t>
  </si>
  <si>
    <t>Choked</t>
  </si>
  <si>
    <t>Flooding</t>
  </si>
  <si>
    <t>Normal</t>
  </si>
  <si>
    <t>Leak</t>
  </si>
  <si>
    <t>No status</t>
  </si>
  <si>
    <t>offline</t>
  </si>
  <si>
    <t>Total</t>
  </si>
  <si>
    <t>Taufique/Pavan K</t>
  </si>
  <si>
    <t>Plant Category</t>
  </si>
  <si>
    <t>Unit Name</t>
  </si>
  <si>
    <t>Refinery</t>
  </si>
  <si>
    <t>CPP-575</t>
  </si>
  <si>
    <t>Last DP Fetch and Display Count</t>
  </si>
  <si>
    <t>Will calucalte by taking sum of all status</t>
  </si>
  <si>
    <t xml:space="preserve">Need condtion and Sensor of hwo we can definde all the status D22 is the sensor </t>
  </si>
  <si>
    <t>Refinery Offsite</t>
  </si>
  <si>
    <t>DCU</t>
  </si>
  <si>
    <t>CDU/VDU</t>
  </si>
  <si>
    <t>MSB</t>
  </si>
  <si>
    <t>HGU</t>
  </si>
  <si>
    <t>DHDT-1</t>
  </si>
  <si>
    <t>VGO</t>
  </si>
  <si>
    <t>BS6</t>
  </si>
  <si>
    <t>SRU</t>
  </si>
  <si>
    <t>FCC-PC</t>
  </si>
  <si>
    <t>will do the sum of satus</t>
  </si>
  <si>
    <t>Priya - new compute to fetch data from API</t>
  </si>
  <si>
    <t>Corrective Action</t>
  </si>
  <si>
    <t>No. of Status changes</t>
  </si>
  <si>
    <t>D11,D12</t>
  </si>
  <si>
    <t>S1</t>
  </si>
  <si>
    <t>need condtion of how we can define the satus change</t>
  </si>
  <si>
    <t xml:space="preserve">Corrective Action Data of how can i retive the data </t>
  </si>
  <si>
    <t>Refinery Piperack</t>
  </si>
  <si>
    <t>Will sum the satus change</t>
  </si>
  <si>
    <t>Steam Trap Monitoring System report - Petchem</t>
  </si>
  <si>
    <t>Petchem</t>
  </si>
  <si>
    <t>DFCU</t>
  </si>
  <si>
    <t>Petchem Offsite</t>
  </si>
  <si>
    <t>PE Swing</t>
  </si>
  <si>
    <t>HDPE</t>
  </si>
  <si>
    <t>Petchem PPU</t>
  </si>
  <si>
    <t>Petchem Piperack</t>
  </si>
  <si>
    <t>TOTAL</t>
  </si>
  <si>
    <t>Device ID</t>
  </si>
  <si>
    <t>Location</t>
  </si>
  <si>
    <t>Unit</t>
  </si>
  <si>
    <t>Current Status</t>
  </si>
  <si>
    <t>Duration</t>
  </si>
  <si>
    <t>Leaking</t>
  </si>
  <si>
    <t>Choking</t>
  </si>
  <si>
    <t>Non Operational</t>
  </si>
  <si>
    <t>No Status</t>
  </si>
  <si>
    <t>Offline</t>
  </si>
  <si>
    <t>Change in Status</t>
  </si>
  <si>
    <t>Number of Corrective Actions</t>
  </si>
  <si>
    <t>Number of Feedbacks</t>
  </si>
  <si>
    <t>Leak Rate</t>
  </si>
  <si>
    <t>Steam Saving (MT)</t>
  </si>
  <si>
    <t>Cost of Steam(Rs/Ton)</t>
  </si>
  <si>
    <t>STM_09025003</t>
  </si>
  <si>
    <t>510E-102A-D EXPORT STEAM TO FGC TRAP PASSING NEAR HWB DOSING SKID</t>
  </si>
  <si>
    <t>Refinery FCCU</t>
  </si>
  <si>
    <t>100.00 %</t>
  </si>
  <si>
    <t>0.00 %</t>
  </si>
  <si>
    <t>150 Kg/hr</t>
  </si>
  <si>
    <t xml:space="preserve">Need condtion and Sensor of hwo we are defining this </t>
  </si>
  <si>
    <t>Need Condition For defning in which satus is the Trap in</t>
  </si>
  <si>
    <t>Condtion Of how we are Defning the Change in satus  S1 Sensor</t>
  </si>
  <si>
    <t>Corrective Action Data of how can i retive the data Sensor D11,D12</t>
  </si>
  <si>
    <t xml:space="preserve">Need Sensor And logic fo how we are defining this </t>
  </si>
  <si>
    <t xml:space="preserve">Pavan </t>
  </si>
  <si>
    <t>1 day</t>
  </si>
  <si>
    <t>b(duration)/a(24hrs)*100</t>
  </si>
  <si>
    <t>24.00 hrs</t>
  </si>
  <si>
    <t>Name</t>
  </si>
  <si>
    <t>Manufacturer</t>
  </si>
  <si>
    <t>Trap Size</t>
  </si>
  <si>
    <t>Failure</t>
  </si>
  <si>
    <t>Date and Time</t>
  </si>
  <si>
    <t>Remark</t>
  </si>
  <si>
    <t>DL-07 (On OSBL pipe rack PR-12) (HP) (STM_022)</t>
  </si>
  <si>
    <t>Outside 0 Meter 3 CP</t>
  </si>
  <si>
    <t>sa</t>
  </si>
  <si>
    <t>Mild Flooding</t>
  </si>
  <si>
    <t>sxa</t>
  </si>
  <si>
    <t>06/07/2026 @ 10:00:00 am</t>
  </si>
  <si>
    <t>ISBL-HP-DL-10 (PRDS) (HP) (STM_002)</t>
  </si>
  <si>
    <t>Petchem CDU</t>
  </si>
  <si>
    <t>PRDS</t>
  </si>
  <si>
    <t>testing</t>
  </si>
  <si>
    <t>Mild Leak</t>
  </si>
  <si>
    <t>cleaning</t>
  </si>
  <si>
    <t>06/07/2026 @ 12:46:00 pm</t>
  </si>
  <si>
    <t>DL-01 (On OSBL pipe rack PR-12) (HP) (STM_040)</t>
  </si>
  <si>
    <t>Refinery offsite</t>
  </si>
  <si>
    <t>On OSBL pipe rack PR-12</t>
  </si>
  <si>
    <t>Test</t>
  </si>
  <si>
    <t>replacement</t>
  </si>
  <si>
    <t>06/07/2026 @ 03:25:00 pm</t>
  </si>
  <si>
    <t xml:space="preserve">This whoel page is allready Present in the Dashbaord Need to Fetch this data and display in the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</si>
</sst>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0">
    <font>
      <sz val="10"/>
      <color rgb="FF000000"/>
      <name val="Arial"/>
      <scheme val="minor"/>
    </font>
    <font>
      <b/>
      <sz val="11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sz val="11"/>
      <color rgb="FFFF0000"/>
      <name val="Calibri"/>
    </font>
    <font>
      <sz val="11"/>
      <color theme="1"/>
      <name val="Calibri"/>
    </font>
    <font>
      <b/>
      <sz val="10"/>
      <color theme="1"/>
      <name val="Arial"/>
      <scheme val="minor"/>
    </font>
    <font>
      <sz val="10"/>
      <color theme="1"/>
      <name val="Outfit"/>
    </font>
    <font>
      <sz val="11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3" fillId="0" borderId="1" xfId="0" applyFont="1" applyBorder="1"/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/>
    <xf numFmtId="0" fontId="8" fillId="4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0" fontId="5" fillId="3" borderId="1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2"/>
  <sheetViews>
    <sheetView tabSelected="1" workbookViewId="0">
      <selection activeCell="I10" sqref="I10"/>
    </sheetView>
  </sheetViews>
  <sheetFormatPr defaultColWidth="12.5703125" defaultRowHeight="15.75" customHeight="1"/>
  <cols>
    <col min="1" max="1" width="20.42578125" customWidth="1"/>
    <col min="2" max="2" width="14.85546875" customWidth="1"/>
    <col min="4" max="4" width="27.5703125" customWidth="1"/>
    <col min="9" max="9" width="33.42578125" customWidth="1"/>
    <col min="11" max="11" width="22.28515625" customWidth="1"/>
  </cols>
  <sheetData>
    <row r="1" spans="1:26">
      <c r="A1" s="1" t="s">
        <v>0</v>
      </c>
      <c r="B1" s="51" t="s">
        <v>1</v>
      </c>
      <c r="C1" s="59"/>
      <c r="D1" s="59"/>
      <c r="E1" s="60"/>
      <c r="F1" s="2"/>
      <c r="G1" s="3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 t="s">
        <v>3</v>
      </c>
      <c r="B2" s="52">
        <v>46209.999305555553</v>
      </c>
      <c r="C2" s="59"/>
      <c r="D2" s="59"/>
      <c r="E2" s="6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 t="s">
        <v>4</v>
      </c>
      <c r="B3" s="52">
        <v>46210.999305555553</v>
      </c>
      <c r="C3" s="59"/>
      <c r="D3" s="59"/>
      <c r="E3" s="6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5" t="s">
        <v>5</v>
      </c>
      <c r="B4" s="53">
        <v>24</v>
      </c>
      <c r="C4" s="59"/>
      <c r="D4" s="59"/>
      <c r="E4" s="6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6</v>
      </c>
      <c r="B5" s="53" t="s">
        <v>7</v>
      </c>
      <c r="C5" s="59"/>
      <c r="D5" s="59"/>
      <c r="E5" s="6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8</v>
      </c>
      <c r="B6" s="53" t="s">
        <v>9</v>
      </c>
      <c r="C6" s="59"/>
      <c r="D6" s="59"/>
      <c r="E6" s="6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 t="s">
        <v>10</v>
      </c>
      <c r="B7" s="53">
        <v>530</v>
      </c>
      <c r="C7" s="59"/>
      <c r="D7" s="59"/>
      <c r="E7" s="6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 t="s">
        <v>11</v>
      </c>
      <c r="B9" s="7" t="s">
        <v>12</v>
      </c>
      <c r="C9" s="7" t="s">
        <v>13</v>
      </c>
      <c r="D9" s="7" t="s">
        <v>14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9" t="s">
        <v>15</v>
      </c>
      <c r="B10" s="10">
        <v>0.91500000000000004</v>
      </c>
      <c r="C10" s="11" t="s">
        <v>16</v>
      </c>
      <c r="D10" s="11" t="s">
        <v>16</v>
      </c>
      <c r="E10" s="12"/>
      <c r="F10" s="2" t="s">
        <v>17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13" t="s">
        <v>18</v>
      </c>
      <c r="B11" s="14">
        <v>2473</v>
      </c>
      <c r="C11" s="14"/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 t="s">
        <v>19</v>
      </c>
      <c r="B12" s="39">
        <v>4.3499999999999996</v>
      </c>
      <c r="C12" s="11"/>
      <c r="D12" s="11"/>
      <c r="E12" s="50" t="s">
        <v>20</v>
      </c>
      <c r="F12" s="49" t="s">
        <v>21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3" t="s">
        <v>22</v>
      </c>
      <c r="B13" s="40">
        <v>3012.52</v>
      </c>
      <c r="C13" s="14"/>
      <c r="D13" s="11"/>
      <c r="E13" s="50"/>
      <c r="F13" s="4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3" t="s">
        <v>23</v>
      </c>
      <c r="B14" s="40">
        <v>6.96</v>
      </c>
      <c r="C14" s="14"/>
      <c r="D14" s="11"/>
      <c r="E14" s="50"/>
      <c r="F14" s="4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3" t="s">
        <v>24</v>
      </c>
      <c r="B15" s="40">
        <v>17219</v>
      </c>
      <c r="C15" s="14"/>
      <c r="D15" s="11"/>
      <c r="E15" s="50"/>
      <c r="F15" s="4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3.75" customHeight="1">
      <c r="A18" s="58" t="s">
        <v>25</v>
      </c>
      <c r="B18" s="60"/>
      <c r="C18" s="54" t="s">
        <v>26</v>
      </c>
      <c r="D18" s="54" t="s">
        <v>27</v>
      </c>
      <c r="E18" s="54" t="s">
        <v>28</v>
      </c>
      <c r="F18" s="54" t="s">
        <v>29</v>
      </c>
      <c r="G18" s="54" t="s">
        <v>30</v>
      </c>
      <c r="H18" s="55" t="s">
        <v>31</v>
      </c>
      <c r="I18" s="54" t="s">
        <v>32</v>
      </c>
      <c r="K18" s="50" t="s">
        <v>33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7" t="s">
        <v>34</v>
      </c>
      <c r="B19" s="17" t="s">
        <v>35</v>
      </c>
      <c r="C19" s="61"/>
      <c r="D19" s="61"/>
      <c r="E19" s="61"/>
      <c r="F19" s="61"/>
      <c r="G19" s="61"/>
      <c r="H19" s="62"/>
      <c r="I19" s="61"/>
      <c r="K19" s="50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52.5" customHeight="1">
      <c r="A20" s="57" t="s">
        <v>36</v>
      </c>
      <c r="B20" s="18" t="s">
        <v>37</v>
      </c>
      <c r="C20" s="43" t="s">
        <v>38</v>
      </c>
      <c r="D20" s="20"/>
      <c r="E20" s="11"/>
      <c r="F20" s="11"/>
      <c r="G20" s="11"/>
      <c r="H20" s="21"/>
      <c r="I20" s="11" t="s">
        <v>39</v>
      </c>
      <c r="J20" s="2"/>
      <c r="K20" s="42" t="s">
        <v>40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63"/>
      <c r="B21" s="18" t="s">
        <v>41</v>
      </c>
      <c r="C21" s="19"/>
      <c r="D21" s="20"/>
      <c r="E21" s="11"/>
      <c r="F21" s="11"/>
      <c r="G21" s="11"/>
      <c r="H21" s="21"/>
      <c r="I21" s="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63"/>
      <c r="B22" s="18" t="s">
        <v>42</v>
      </c>
      <c r="C22" s="19"/>
      <c r="D22" s="20"/>
      <c r="E22" s="11"/>
      <c r="F22" s="11"/>
      <c r="G22" s="11"/>
      <c r="H22" s="21"/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63"/>
      <c r="B23" s="18" t="s">
        <v>43</v>
      </c>
      <c r="C23" s="19"/>
      <c r="D23" s="20"/>
      <c r="E23" s="11"/>
      <c r="F23" s="11"/>
      <c r="G23" s="11"/>
      <c r="H23" s="21"/>
      <c r="I23" s="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63"/>
      <c r="B24" s="18" t="s">
        <v>44</v>
      </c>
      <c r="C24" s="19"/>
      <c r="D24" s="20"/>
      <c r="E24" s="11"/>
      <c r="F24" s="11"/>
      <c r="G24" s="11"/>
      <c r="H24" s="21"/>
      <c r="I24" s="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63"/>
      <c r="B25" s="18" t="s">
        <v>45</v>
      </c>
      <c r="C25" s="19"/>
      <c r="D25" s="20"/>
      <c r="E25" s="11"/>
      <c r="F25" s="11"/>
      <c r="G25" s="11"/>
      <c r="H25" s="21"/>
      <c r="I25" s="1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63"/>
      <c r="B26" s="18" t="s">
        <v>46</v>
      </c>
      <c r="C26" s="19"/>
      <c r="D26" s="20"/>
      <c r="E26" s="11"/>
      <c r="F26" s="11"/>
      <c r="G26" s="11"/>
      <c r="H26" s="21"/>
      <c r="I26" s="1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3"/>
      <c r="B27" s="18" t="s">
        <v>47</v>
      </c>
      <c r="C27" s="19"/>
      <c r="D27" s="20"/>
      <c r="E27" s="11"/>
      <c r="F27" s="11"/>
      <c r="G27" s="11"/>
      <c r="H27" s="21"/>
      <c r="I27" s="1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3"/>
      <c r="B28" s="18" t="s">
        <v>48</v>
      </c>
      <c r="C28" s="19"/>
      <c r="D28" s="20"/>
      <c r="E28" s="11"/>
      <c r="F28" s="11"/>
      <c r="G28" s="11"/>
      <c r="H28" s="21"/>
      <c r="I28" s="1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63"/>
      <c r="B29" s="18" t="s">
        <v>49</v>
      </c>
      <c r="C29" s="19"/>
      <c r="D29" s="20"/>
      <c r="E29" s="11"/>
      <c r="F29" s="11"/>
      <c r="G29" s="11"/>
      <c r="H29" s="21"/>
      <c r="I29" s="1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61"/>
      <c r="B30" s="22" t="s">
        <v>50</v>
      </c>
      <c r="C30" s="19"/>
      <c r="D30" s="23"/>
      <c r="E30" s="24"/>
      <c r="F30" s="24"/>
      <c r="G30" s="24"/>
      <c r="H30" s="25"/>
      <c r="I30" s="1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6" t="s">
        <v>32</v>
      </c>
      <c r="B31" s="60"/>
      <c r="C31" s="11" t="s">
        <v>51</v>
      </c>
      <c r="D31" s="11"/>
      <c r="E31" s="11"/>
      <c r="F31" s="11"/>
      <c r="G31" s="11"/>
      <c r="H31" s="11"/>
      <c r="I31" s="1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 t="s">
        <v>52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1.5" customHeight="1">
      <c r="A33" s="26" t="s">
        <v>34</v>
      </c>
      <c r="B33" s="27" t="s">
        <v>35</v>
      </c>
      <c r="C33" s="28" t="s">
        <v>53</v>
      </c>
      <c r="D33" s="28" t="s">
        <v>54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7" t="s">
        <v>36</v>
      </c>
      <c r="B34" s="18" t="s">
        <v>42</v>
      </c>
      <c r="C34" s="11" t="s">
        <v>55</v>
      </c>
      <c r="D34" s="11" t="s">
        <v>56</v>
      </c>
      <c r="E34" s="2" t="s">
        <v>57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63"/>
      <c r="B35" s="18" t="s">
        <v>43</v>
      </c>
      <c r="C35" s="11"/>
      <c r="D35" s="11"/>
      <c r="E35" s="2" t="s">
        <v>58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63"/>
      <c r="B36" s="18" t="s">
        <v>44</v>
      </c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63"/>
      <c r="B37" s="18" t="s">
        <v>45</v>
      </c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63"/>
      <c r="B38" s="18" t="s">
        <v>46</v>
      </c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63"/>
      <c r="B39" s="18" t="s">
        <v>47</v>
      </c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63"/>
      <c r="B40" s="18" t="s">
        <v>48</v>
      </c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63"/>
      <c r="B41" s="18" t="s">
        <v>49</v>
      </c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63"/>
      <c r="B42" s="18" t="s">
        <v>37</v>
      </c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63"/>
      <c r="B43" s="18" t="s">
        <v>59</v>
      </c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61"/>
      <c r="B44" s="22" t="s">
        <v>50</v>
      </c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6" t="s">
        <v>32</v>
      </c>
      <c r="B45" s="60"/>
      <c r="C45" s="11"/>
      <c r="D45" s="11" t="s">
        <v>60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22">
    <mergeCell ref="A31:B31"/>
    <mergeCell ref="A34:A44"/>
    <mergeCell ref="A45:B45"/>
    <mergeCell ref="A18:B18"/>
    <mergeCell ref="C18:C19"/>
    <mergeCell ref="A20:A30"/>
    <mergeCell ref="D18:D19"/>
    <mergeCell ref="E18:E19"/>
    <mergeCell ref="F18:F19"/>
    <mergeCell ref="G18:G19"/>
    <mergeCell ref="K18:K19"/>
    <mergeCell ref="H18:H19"/>
    <mergeCell ref="I18:I19"/>
    <mergeCell ref="F12:F15"/>
    <mergeCell ref="E12:E15"/>
    <mergeCell ref="B1:E1"/>
    <mergeCell ref="B2:E2"/>
    <mergeCell ref="B3:E3"/>
    <mergeCell ref="B4:E4"/>
    <mergeCell ref="B5:E5"/>
    <mergeCell ref="B6:E6"/>
    <mergeCell ref="B7:E7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0"/>
  <sheetViews>
    <sheetView workbookViewId="0">
      <selection activeCell="A13" sqref="A13"/>
    </sheetView>
  </sheetViews>
  <sheetFormatPr defaultColWidth="12.5703125" defaultRowHeight="15.75" customHeight="1"/>
  <cols>
    <col min="1" max="1" width="20.42578125" customWidth="1"/>
    <col min="2" max="2" width="14.85546875" customWidth="1"/>
  </cols>
  <sheetData>
    <row r="1" spans="1:26">
      <c r="A1" s="1" t="s">
        <v>0</v>
      </c>
      <c r="B1" s="51" t="s">
        <v>61</v>
      </c>
      <c r="C1" s="59"/>
      <c r="D1" s="59"/>
      <c r="E1" s="60"/>
      <c r="F1" s="2"/>
      <c r="G1" s="3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 t="s">
        <v>3</v>
      </c>
      <c r="B2" s="52">
        <v>46209.999305555553</v>
      </c>
      <c r="C2" s="59"/>
      <c r="D2" s="59"/>
      <c r="E2" s="6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 t="s">
        <v>4</v>
      </c>
      <c r="B3" s="52">
        <v>46210.999305555553</v>
      </c>
      <c r="C3" s="59"/>
      <c r="D3" s="59"/>
      <c r="E3" s="6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5" t="s">
        <v>5</v>
      </c>
      <c r="B4" s="53">
        <v>24</v>
      </c>
      <c r="C4" s="59"/>
      <c r="D4" s="59"/>
      <c r="E4" s="6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6</v>
      </c>
      <c r="B5" s="53" t="s">
        <v>7</v>
      </c>
      <c r="C5" s="59"/>
      <c r="D5" s="59"/>
      <c r="E5" s="6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8</v>
      </c>
      <c r="B6" s="53" t="s">
        <v>9</v>
      </c>
      <c r="C6" s="59"/>
      <c r="D6" s="59"/>
      <c r="E6" s="6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 t="s">
        <v>10</v>
      </c>
      <c r="B7" s="53">
        <v>305</v>
      </c>
      <c r="C7" s="59"/>
      <c r="D7" s="59"/>
      <c r="E7" s="6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 t="s">
        <v>11</v>
      </c>
      <c r="B9" s="7" t="s">
        <v>12</v>
      </c>
      <c r="C9" s="7" t="s">
        <v>13</v>
      </c>
      <c r="D9" s="7" t="s">
        <v>14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9" t="s">
        <v>15</v>
      </c>
      <c r="B10" s="10">
        <v>0.91500000000000004</v>
      </c>
      <c r="C10" s="11"/>
      <c r="D10" s="11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3" t="s">
        <v>18</v>
      </c>
      <c r="B11" s="14">
        <v>2473</v>
      </c>
      <c r="C11" s="14"/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9" t="s">
        <v>19</v>
      </c>
      <c r="B12" s="15">
        <v>4.3499999999999996</v>
      </c>
      <c r="C12" s="11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3" t="s">
        <v>22</v>
      </c>
      <c r="B13" s="14">
        <v>3012.52</v>
      </c>
      <c r="C13" s="14"/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3" t="s">
        <v>23</v>
      </c>
      <c r="B14" s="14">
        <v>6.96</v>
      </c>
      <c r="C14" s="14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3" t="s">
        <v>24</v>
      </c>
      <c r="B15" s="14">
        <v>17219</v>
      </c>
      <c r="C15" s="14"/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8" t="s">
        <v>25</v>
      </c>
      <c r="B18" s="60"/>
      <c r="C18" s="54" t="s">
        <v>26</v>
      </c>
      <c r="D18" s="54" t="s">
        <v>27</v>
      </c>
      <c r="E18" s="54" t="s">
        <v>28</v>
      </c>
      <c r="F18" s="54" t="s">
        <v>29</v>
      </c>
      <c r="G18" s="54" t="s">
        <v>30</v>
      </c>
      <c r="H18" s="55" t="s">
        <v>31</v>
      </c>
      <c r="I18" s="54" t="s">
        <v>32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>
      <c r="A19" s="17" t="s">
        <v>34</v>
      </c>
      <c r="B19" s="17" t="s">
        <v>35</v>
      </c>
      <c r="C19" s="61"/>
      <c r="D19" s="61"/>
      <c r="E19" s="61"/>
      <c r="F19" s="61"/>
      <c r="G19" s="61"/>
      <c r="H19" s="62"/>
      <c r="I19" s="61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>
      <c r="A20" s="57" t="s">
        <v>62</v>
      </c>
      <c r="B20" s="18" t="s">
        <v>63</v>
      </c>
      <c r="C20" s="19"/>
      <c r="D20" s="20"/>
      <c r="E20" s="11"/>
      <c r="F20" s="11"/>
      <c r="G20" s="11"/>
      <c r="H20" s="21"/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63"/>
      <c r="B21" s="18" t="s">
        <v>64</v>
      </c>
      <c r="C21" s="19"/>
      <c r="D21" s="20"/>
      <c r="E21" s="11"/>
      <c r="F21" s="11"/>
      <c r="G21" s="11"/>
      <c r="H21" s="21"/>
      <c r="I21" s="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63"/>
      <c r="B22" s="18" t="s">
        <v>65</v>
      </c>
      <c r="C22" s="19"/>
      <c r="D22" s="29"/>
      <c r="E22" s="11"/>
      <c r="F22" s="11"/>
      <c r="G22" s="11"/>
      <c r="H22" s="21"/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63"/>
      <c r="B23" s="18" t="s">
        <v>66</v>
      </c>
      <c r="C23" s="19"/>
      <c r="D23" s="20"/>
      <c r="E23" s="11"/>
      <c r="F23" s="11"/>
      <c r="G23" s="11"/>
      <c r="H23" s="21"/>
      <c r="I23" s="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61"/>
      <c r="B24" s="18" t="s">
        <v>67</v>
      </c>
      <c r="C24" s="19"/>
      <c r="D24" s="20"/>
      <c r="E24" s="11"/>
      <c r="F24" s="11"/>
      <c r="G24" s="11"/>
      <c r="H24" s="21"/>
      <c r="I24" s="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6" t="s">
        <v>32</v>
      </c>
      <c r="B25" s="60"/>
      <c r="C25" s="11"/>
      <c r="D25" s="11"/>
      <c r="E25" s="11"/>
      <c r="F25" s="11"/>
      <c r="G25" s="11"/>
      <c r="H25" s="11"/>
      <c r="I25" s="1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6" t="s">
        <v>34</v>
      </c>
      <c r="B27" s="26" t="s">
        <v>35</v>
      </c>
      <c r="C27" s="28" t="s">
        <v>53</v>
      </c>
      <c r="D27" s="28" t="s">
        <v>54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7" t="s">
        <v>62</v>
      </c>
      <c r="B28" s="30" t="s">
        <v>66</v>
      </c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63"/>
      <c r="B29" s="30" t="s">
        <v>67</v>
      </c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63"/>
      <c r="B30" s="30" t="s">
        <v>63</v>
      </c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63"/>
      <c r="B31" s="30" t="s">
        <v>65</v>
      </c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61"/>
      <c r="B32" s="30" t="s">
        <v>68</v>
      </c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6" t="s">
        <v>32</v>
      </c>
      <c r="B33" s="60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</sheetData>
  <mergeCells count="19">
    <mergeCell ref="B6:E6"/>
    <mergeCell ref="A18:B18"/>
    <mergeCell ref="C18:C19"/>
    <mergeCell ref="D18:D19"/>
    <mergeCell ref="E18:E19"/>
    <mergeCell ref="B7:E7"/>
    <mergeCell ref="B5:E5"/>
    <mergeCell ref="B1:E1"/>
    <mergeCell ref="B2:E2"/>
    <mergeCell ref="B3:E3"/>
    <mergeCell ref="B4:E4"/>
    <mergeCell ref="G18:G19"/>
    <mergeCell ref="H18:H19"/>
    <mergeCell ref="I18:I19"/>
    <mergeCell ref="A25:B25"/>
    <mergeCell ref="A33:B33"/>
    <mergeCell ref="A28:A32"/>
    <mergeCell ref="F18:F19"/>
    <mergeCell ref="A20:A24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7"/>
  <sheetViews>
    <sheetView workbookViewId="0">
      <selection activeCell="O4" sqref="O4"/>
    </sheetView>
  </sheetViews>
  <sheetFormatPr defaultColWidth="12.5703125" defaultRowHeight="15.75" customHeight="1"/>
  <cols>
    <col min="2" max="2" width="32" customWidth="1"/>
    <col min="4" max="4" width="14.42578125" customWidth="1"/>
    <col min="5" max="5" width="7.85546875" customWidth="1"/>
    <col min="6" max="6" width="11.85546875" customWidth="1"/>
    <col min="7" max="7" width="7.5703125" customWidth="1"/>
    <col min="8" max="8" width="6.7109375" customWidth="1"/>
    <col min="9" max="9" width="7.42578125" customWidth="1"/>
    <col min="10" max="10" width="13.28515625" customWidth="1"/>
    <col min="11" max="11" width="13.7109375" customWidth="1"/>
    <col min="12" max="12" width="14.7109375" customWidth="1"/>
    <col min="13" max="13" width="13.28515625" customWidth="1"/>
    <col min="14" max="14" width="9.42578125" customWidth="1"/>
    <col min="15" max="15" width="12.7109375" customWidth="1"/>
    <col min="16" max="16" width="8.42578125" customWidth="1"/>
    <col min="17" max="17" width="11.140625" customWidth="1"/>
    <col min="18" max="18" width="9.42578125" customWidth="1"/>
    <col min="19" max="19" width="8.7109375" customWidth="1"/>
    <col min="20" max="20" width="8.42578125" customWidth="1"/>
    <col min="21" max="21" width="10.85546875" customWidth="1"/>
  </cols>
  <sheetData>
    <row r="1" spans="1:24">
      <c r="A1" s="31"/>
      <c r="B1" s="31"/>
      <c r="C1" s="31"/>
      <c r="D1" s="31"/>
      <c r="E1" s="31"/>
      <c r="F1" s="31">
        <f>10/168</f>
        <v>5.9523809523809521E-2</v>
      </c>
      <c r="G1" s="31"/>
      <c r="H1" s="31"/>
      <c r="I1" s="31"/>
      <c r="J1" s="31"/>
      <c r="K1" s="31"/>
      <c r="L1" s="31"/>
      <c r="M1" s="31"/>
      <c r="N1" s="31"/>
      <c r="O1" s="45" t="s">
        <v>69</v>
      </c>
      <c r="P1" s="60"/>
      <c r="Q1" s="32">
        <v>0</v>
      </c>
      <c r="R1" s="32">
        <v>0</v>
      </c>
      <c r="S1" s="32">
        <v>0</v>
      </c>
      <c r="T1" s="32">
        <v>0</v>
      </c>
      <c r="U1" s="32">
        <v>0</v>
      </c>
    </row>
    <row r="2" spans="1:24" s="41" customFormat="1" ht="60.75">
      <c r="A2" s="33" t="s">
        <v>70</v>
      </c>
      <c r="B2" s="33" t="s">
        <v>71</v>
      </c>
      <c r="C2" s="33" t="s">
        <v>72</v>
      </c>
      <c r="D2" s="33" t="s">
        <v>73</v>
      </c>
      <c r="E2" s="33" t="s">
        <v>74</v>
      </c>
      <c r="F2" s="33" t="s">
        <v>28</v>
      </c>
      <c r="G2" s="33" t="s">
        <v>27</v>
      </c>
      <c r="H2" s="33" t="s">
        <v>75</v>
      </c>
      <c r="I2" s="33" t="s">
        <v>76</v>
      </c>
      <c r="J2" s="33" t="s">
        <v>77</v>
      </c>
      <c r="K2" s="33" t="s">
        <v>78</v>
      </c>
      <c r="L2" s="33" t="s">
        <v>79</v>
      </c>
      <c r="M2" s="33" t="s">
        <v>80</v>
      </c>
      <c r="N2" s="33" t="s">
        <v>81</v>
      </c>
      <c r="O2" s="33" t="s">
        <v>82</v>
      </c>
      <c r="P2" s="33" t="s">
        <v>83</v>
      </c>
      <c r="Q2" s="33" t="s">
        <v>84</v>
      </c>
      <c r="R2" s="33" t="s">
        <v>19</v>
      </c>
      <c r="S2" s="33" t="s">
        <v>85</v>
      </c>
      <c r="T2" s="33" t="s">
        <v>22</v>
      </c>
      <c r="U2" s="33" t="s">
        <v>24</v>
      </c>
      <c r="V2" s="34"/>
      <c r="W2" s="34"/>
      <c r="X2" s="34"/>
    </row>
    <row r="3" spans="1:24" ht="35.25" customHeight="1">
      <c r="A3" s="35" t="s">
        <v>86</v>
      </c>
      <c r="B3" s="35" t="s">
        <v>87</v>
      </c>
      <c r="C3" s="35" t="s">
        <v>88</v>
      </c>
      <c r="D3" s="35" t="s">
        <v>28</v>
      </c>
      <c r="E3" s="35">
        <f>7*24</f>
        <v>168</v>
      </c>
      <c r="F3" s="35" t="s">
        <v>89</v>
      </c>
      <c r="G3" s="44">
        <v>0</v>
      </c>
      <c r="H3" s="35" t="s">
        <v>90</v>
      </c>
      <c r="I3" s="35" t="s">
        <v>90</v>
      </c>
      <c r="J3" s="35" t="s">
        <v>90</v>
      </c>
      <c r="K3" s="35" t="s">
        <v>90</v>
      </c>
      <c r="L3" s="35" t="s">
        <v>90</v>
      </c>
      <c r="M3" s="35">
        <v>0</v>
      </c>
      <c r="N3" s="35">
        <v>0</v>
      </c>
      <c r="O3" s="35">
        <v>0</v>
      </c>
      <c r="P3" s="35" t="s">
        <v>91</v>
      </c>
      <c r="Q3" s="35">
        <v>0</v>
      </c>
      <c r="R3" s="35">
        <v>0</v>
      </c>
      <c r="S3" s="35">
        <v>2700</v>
      </c>
      <c r="T3" s="19"/>
      <c r="U3" s="19"/>
    </row>
    <row r="4" spans="1:24" ht="90.75" customHeight="1">
      <c r="D4" s="41" t="s">
        <v>92</v>
      </c>
      <c r="F4" s="46" t="s">
        <v>93</v>
      </c>
      <c r="G4" s="46"/>
      <c r="H4" s="46"/>
      <c r="I4" s="46"/>
      <c r="J4" s="46"/>
      <c r="K4" s="46"/>
      <c r="L4" s="46"/>
      <c r="M4" s="41" t="s">
        <v>94</v>
      </c>
      <c r="N4" s="34" t="s">
        <v>95</v>
      </c>
      <c r="O4" s="41" t="s">
        <v>96</v>
      </c>
      <c r="Q4" s="48" t="s">
        <v>21</v>
      </c>
      <c r="R4" s="48"/>
      <c r="S4" s="48"/>
      <c r="T4" s="48"/>
      <c r="U4" s="48"/>
    </row>
    <row r="5" spans="1:24" ht="15.75" customHeight="1">
      <c r="D5" t="s">
        <v>97</v>
      </c>
      <c r="F5" s="47" t="s">
        <v>97</v>
      </c>
      <c r="G5" s="47"/>
      <c r="H5" s="47"/>
      <c r="I5" s="47"/>
      <c r="J5" s="47"/>
      <c r="K5" s="47"/>
      <c r="L5" s="47"/>
      <c r="M5" s="47" t="s">
        <v>20</v>
      </c>
      <c r="N5" s="47"/>
      <c r="O5" s="47"/>
      <c r="Q5" s="47" t="s">
        <v>20</v>
      </c>
      <c r="R5" s="47"/>
      <c r="S5" s="47"/>
      <c r="T5" s="47"/>
      <c r="U5" s="47"/>
    </row>
    <row r="6" spans="1:24" ht="15.75" customHeight="1">
      <c r="Q6" s="2"/>
    </row>
    <row r="7" spans="1:24" ht="15.75" customHeight="1">
      <c r="Q7" s="2"/>
    </row>
    <row r="14" spans="1:24" ht="15.75" customHeight="1">
      <c r="G14">
        <v>48</v>
      </c>
      <c r="H14" t="s">
        <v>98</v>
      </c>
    </row>
    <row r="15" spans="1:24" ht="15.75" customHeight="1">
      <c r="F15" s="35" t="s">
        <v>86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24" ht="15.75" customHeight="1">
      <c r="G16">
        <f>SUM(G15:O15)/2</f>
        <v>4</v>
      </c>
    </row>
    <row r="17" spans="6:9" ht="15.75" customHeight="1">
      <c r="F17">
        <v>24</v>
      </c>
      <c r="G17">
        <f>(G16/F17)*100</f>
        <v>16.666666666666664</v>
      </c>
      <c r="I17" t="s">
        <v>99</v>
      </c>
    </row>
  </sheetData>
  <mergeCells count="6">
    <mergeCell ref="O1:P1"/>
    <mergeCell ref="F4:L4"/>
    <mergeCell ref="M5:O5"/>
    <mergeCell ref="Q4:U4"/>
    <mergeCell ref="Q5:U5"/>
    <mergeCell ref="F5:L5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3"/>
  <sheetViews>
    <sheetView workbookViewId="0"/>
  </sheetViews>
  <sheetFormatPr defaultColWidth="12.5703125" defaultRowHeight="15.75" customHeight="1"/>
  <cols>
    <col min="1" max="1" width="12.5703125" customWidth="1"/>
    <col min="2" max="2" width="30.5703125" customWidth="1"/>
    <col min="3" max="3" width="12.5703125" customWidth="1"/>
    <col min="4" max="4" width="7.42578125" customWidth="1"/>
    <col min="5" max="5" width="7.85546875" customWidth="1"/>
    <col min="6" max="15" width="9.42578125" customWidth="1"/>
    <col min="16" max="16" width="15.7109375" customWidth="1"/>
    <col min="17" max="17" width="11.42578125" customWidth="1"/>
    <col min="18" max="18" width="8.42578125" customWidth="1"/>
    <col min="19" max="19" width="13.42578125" customWidth="1"/>
    <col min="20" max="20" width="10.7109375" customWidth="1"/>
    <col min="21" max="21" width="11.42578125" customWidth="1"/>
    <col min="22" max="22" width="8.42578125" customWidth="1"/>
    <col min="23" max="23" width="10.85546875" customWidth="1"/>
  </cols>
  <sheetData>
    <row r="1" spans="1:26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45" t="s">
        <v>69</v>
      </c>
      <c r="P1" s="60"/>
      <c r="Q1" s="32">
        <v>0</v>
      </c>
      <c r="R1" s="32">
        <v>0</v>
      </c>
      <c r="S1" s="32">
        <v>0</v>
      </c>
      <c r="T1" s="32">
        <v>0</v>
      </c>
      <c r="U1" s="32">
        <v>0</v>
      </c>
    </row>
    <row r="2" spans="1:26" ht="33" customHeight="1">
      <c r="A2" s="33" t="s">
        <v>70</v>
      </c>
      <c r="B2" s="33" t="s">
        <v>71</v>
      </c>
      <c r="C2" s="33" t="s">
        <v>72</v>
      </c>
      <c r="D2" s="33" t="s">
        <v>73</v>
      </c>
      <c r="E2" s="33" t="s">
        <v>74</v>
      </c>
      <c r="F2" s="33" t="s">
        <v>28</v>
      </c>
      <c r="G2" s="33" t="s">
        <v>27</v>
      </c>
      <c r="H2" s="33" t="s">
        <v>75</v>
      </c>
      <c r="I2" s="33" t="s">
        <v>76</v>
      </c>
      <c r="J2" s="33" t="s">
        <v>77</v>
      </c>
      <c r="K2" s="33" t="s">
        <v>78</v>
      </c>
      <c r="L2" s="33" t="s">
        <v>79</v>
      </c>
      <c r="M2" s="33" t="s">
        <v>80</v>
      </c>
      <c r="N2" s="33" t="s">
        <v>81</v>
      </c>
      <c r="O2" s="33" t="s">
        <v>82</v>
      </c>
      <c r="P2" s="33" t="s">
        <v>83</v>
      </c>
      <c r="Q2" s="33" t="s">
        <v>84</v>
      </c>
      <c r="R2" s="33" t="s">
        <v>19</v>
      </c>
      <c r="S2" s="33" t="s">
        <v>85</v>
      </c>
      <c r="T2" s="33" t="s">
        <v>22</v>
      </c>
      <c r="U2" s="33" t="s">
        <v>24</v>
      </c>
      <c r="V2" s="34"/>
      <c r="W2" s="34"/>
      <c r="X2" s="34"/>
      <c r="Y2" s="34"/>
      <c r="Z2" s="34"/>
    </row>
    <row r="3" spans="1:26">
      <c r="A3" s="35" t="s">
        <v>86</v>
      </c>
      <c r="B3" s="35" t="s">
        <v>87</v>
      </c>
      <c r="C3" s="35" t="s">
        <v>88</v>
      </c>
      <c r="D3" s="35" t="s">
        <v>28</v>
      </c>
      <c r="E3" s="35" t="s">
        <v>100</v>
      </c>
      <c r="F3" s="35" t="s">
        <v>89</v>
      </c>
      <c r="G3" s="35" t="s">
        <v>90</v>
      </c>
      <c r="H3" s="35" t="s">
        <v>90</v>
      </c>
      <c r="I3" s="35" t="s">
        <v>90</v>
      </c>
      <c r="J3" s="35" t="s">
        <v>90</v>
      </c>
      <c r="K3" s="35" t="s">
        <v>90</v>
      </c>
      <c r="L3" s="35" t="s">
        <v>90</v>
      </c>
      <c r="M3" s="35">
        <v>0</v>
      </c>
      <c r="N3" s="35">
        <v>0</v>
      </c>
      <c r="O3" s="35">
        <v>0</v>
      </c>
      <c r="P3" s="35" t="s">
        <v>91</v>
      </c>
      <c r="Q3" s="35">
        <v>0</v>
      </c>
      <c r="R3" s="35">
        <v>0</v>
      </c>
      <c r="S3" s="35">
        <v>2700</v>
      </c>
      <c r="T3" s="19"/>
      <c r="U3" s="19"/>
    </row>
  </sheetData>
  <mergeCells count="1">
    <mergeCell ref="O1:P1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7"/>
  <sheetViews>
    <sheetView workbookViewId="0">
      <selection activeCell="A8" sqref="A8"/>
    </sheetView>
  </sheetViews>
  <sheetFormatPr defaultColWidth="12.5703125" defaultRowHeight="15.75" customHeight="1"/>
  <cols>
    <col min="1" max="1" width="27" customWidth="1"/>
  </cols>
  <sheetData>
    <row r="1" spans="1:9">
      <c r="A1" s="33" t="s">
        <v>101</v>
      </c>
      <c r="B1" s="33" t="s">
        <v>35</v>
      </c>
      <c r="C1" s="33" t="s">
        <v>71</v>
      </c>
      <c r="D1" s="33" t="s">
        <v>102</v>
      </c>
      <c r="E1" s="33" t="s">
        <v>103</v>
      </c>
      <c r="F1" s="33" t="s">
        <v>104</v>
      </c>
      <c r="G1" s="33" t="s">
        <v>53</v>
      </c>
      <c r="H1" s="33" t="s">
        <v>105</v>
      </c>
      <c r="I1" s="33" t="s">
        <v>106</v>
      </c>
    </row>
    <row r="2" spans="1:9" ht="35.25" customHeight="1">
      <c r="A2" s="36" t="s">
        <v>107</v>
      </c>
      <c r="B2" s="36" t="s">
        <v>88</v>
      </c>
      <c r="C2" s="36" t="s">
        <v>108</v>
      </c>
      <c r="D2" s="37" t="s">
        <v>109</v>
      </c>
      <c r="E2" s="37">
        <v>2</v>
      </c>
      <c r="F2" s="37" t="s">
        <v>110</v>
      </c>
      <c r="G2" s="37" t="s">
        <v>111</v>
      </c>
      <c r="H2" s="36" t="s">
        <v>112</v>
      </c>
      <c r="I2" s="38"/>
    </row>
    <row r="3" spans="1:9" ht="30.75" customHeight="1">
      <c r="A3" s="36" t="s">
        <v>113</v>
      </c>
      <c r="B3" s="36" t="s">
        <v>114</v>
      </c>
      <c r="C3" s="36" t="s">
        <v>115</v>
      </c>
      <c r="D3" s="37" t="s">
        <v>116</v>
      </c>
      <c r="E3" s="37">
        <v>45</v>
      </c>
      <c r="F3" s="37" t="s">
        <v>117</v>
      </c>
      <c r="G3" s="37" t="s">
        <v>118</v>
      </c>
      <c r="H3" s="36" t="s">
        <v>119</v>
      </c>
      <c r="I3" s="38"/>
    </row>
    <row r="4" spans="1:9" ht="38.25" customHeight="1">
      <c r="A4" s="36" t="s">
        <v>120</v>
      </c>
      <c r="B4" s="36" t="s">
        <v>121</v>
      </c>
      <c r="C4" s="36" t="s">
        <v>122</v>
      </c>
      <c r="D4" s="37" t="s">
        <v>123</v>
      </c>
      <c r="E4" s="37">
        <v>2</v>
      </c>
      <c r="F4" s="37" t="s">
        <v>110</v>
      </c>
      <c r="G4" s="37" t="s">
        <v>124</v>
      </c>
      <c r="H4" s="36" t="s">
        <v>125</v>
      </c>
      <c r="I4" s="38"/>
    </row>
    <row r="6" spans="1:9" ht="15.75" customHeight="1">
      <c r="A6" t="s">
        <v>126</v>
      </c>
    </row>
    <row r="7" spans="1:9" ht="15.75" customHeight="1">
      <c r="A7" t="s">
        <v>20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2026-07-14T04:47:20Z</dcterms:created>
  <dcterms:modified xsi:type="dcterms:W3CDTF">2026-07-15T10:27:56Z</dcterms:modified>
  <cp:category/>
  <cp:contentStatus/>
</cp:coreProperties>
</file>